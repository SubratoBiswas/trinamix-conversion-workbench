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</sheets>
  <definedNames>
    <definedName function="false" hidden="true" localSheetId="1" name="_xlnm._FilterDatabase" vbProcedure="false">'Test Cases'!$A$1:$I$12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<sst xmlns="http://schemas.openxmlformats.org/spreadsheetml/2006/main" count="130" uniqueCount="90">
  <si>
    <t xml:space="preserve">Trinamix Conversion Workbench</t>
  </si>
  <si>
    <t xml:space="preserve">Unit Test Report — core conversion engine (pure-logic suite)</t>
  </si>
  <si>
    <t xml:space="preserve">Test script</t>
  </si>
  <si>
    <t xml:space="preserve">backend/tests/test_conversion_workbench.py</t>
  </si>
  <si>
    <t xml:space="preserve">Scope</t>
  </si>
  <si>
    <t xml:space="preserve">Pure logic — no database, no network (safe to run anywhere)</t>
  </si>
  <si>
    <t xml:space="preserve">Frameworks</t>
  </si>
  <si>
    <t xml:space="preserve">pytest  OR  python3 tests/test_conversion_workbench.py</t>
  </si>
  <si>
    <t xml:space="preserve">Run date</t>
  </si>
  <si>
    <t xml:space="preserve">2026-07-24</t>
  </si>
  <si>
    <t xml:space="preserve">Total tests</t>
  </si>
  <si>
    <t xml:space="preserve">Passed</t>
  </si>
  <si>
    <t xml:space="preserve">Failed</t>
  </si>
  <si>
    <t xml:space="preserve">Pass rate</t>
  </si>
  <si>
    <t xml:space="preserve">Coverage by area</t>
  </si>
  <si>
    <t xml:space="preserve">Area</t>
  </si>
  <si>
    <t xml:space="preserve">Tests</t>
  </si>
  <si>
    <t xml:space="preserve">Filled Oracle template</t>
  </si>
  <si>
    <t xml:space="preserve">Supplier FBDI CSV layout</t>
  </si>
  <si>
    <t xml:space="preserve">Multi-source merge</t>
  </si>
  <si>
    <t xml:space="preserve">Generate-time data quality</t>
  </si>
  <si>
    <t xml:space="preserve">ID</t>
  </si>
  <si>
    <t xml:space="preserve">Module under test</t>
  </si>
  <si>
    <t xml:space="preserve">Test case</t>
  </si>
  <si>
    <t xml:space="preserve">What it verifies</t>
  </si>
  <si>
    <t xml:space="preserve">Setup / Input</t>
  </si>
  <si>
    <t xml:space="preserve">Expected result</t>
  </si>
  <si>
    <t xml:space="preserve">Result</t>
  </si>
  <si>
    <t xml:space="preserve">Type</t>
  </si>
  <si>
    <t xml:space="preserve">TC-01</t>
  </si>
  <si>
    <t xml:space="preserve">template_fill_service</t>
  </si>
  <si>
    <t xml:space="preserve">Supplier template fill (tabular layout)</t>
  </si>
  <si>
    <t xml:space="preserve">Detects header row 4 / data row 5 / column-A start; writes records to the correct columns; wipes shipped sample rows.</t>
  </si>
  <si>
    <t xml:space="preserve">Bundled 1_SupplierImport_POZ_SUPPLIERS_INT.xlsm + 3-row frame (Import Action, Supplier Name, Supplier Number).</t>
  </si>
  <si>
    <t xml:space="preserve">detect_layout = (4,5,1); row 5 = first record (Acme Co); rows below the 3 records are blank.</t>
  </si>
  <si>
    <t xml:space="preserve">Pass</t>
  </si>
  <si>
    <t xml:space="preserve">Unit</t>
  </si>
  <si>
    <t xml:space="preserve">TC-02</t>
  </si>
  <si>
    <t xml:space="preserve">Item template fill (Oracle-transposed layout)</t>
  </si>
  <si>
    <t xml:space="preserve">Detects transposed layout: header on Name row, fields from column B, data below the metadata block; writes to correct columns; wipes samples.</t>
  </si>
  <si>
    <t xml:space="preserve">ItemImport_EGP_SYSTEM_ITEMS_INTERFACE.xlsm + 2-row frame (Transaction Type, Batch ID, Item Number).</t>
  </si>
  <si>
    <t xml:space="preserve">header_row=4, col_start=2, data_start&gt;=9; first record at data_start; trailing sample rows blank.</t>
  </si>
  <si>
    <t xml:space="preserve">TC-03</t>
  </si>
  <si>
    <t xml:space="preserve">Unmatched columns &amp; Instructions sheet safety</t>
  </si>
  <si>
    <t xml:space="preserve">An unknown source column is ignored (no crash / misplacement); the Instructions/CSV-Generation sheet is left untouched.</t>
  </si>
  <si>
    <t xml:space="preserve">Supplier template + frame with a valid column plus a 'Totally Unknown Column'.</t>
  </si>
  <si>
    <t xml:space="preserve">Mapped value written; unknown column ignored; 'Instructions and CSV Generation' sheet still present.</t>
  </si>
  <si>
    <t xml:space="preserve">TC-04</t>
  </si>
  <si>
    <t xml:space="preserve">supplier_fbdi_layout</t>
  </si>
  <si>
    <t xml:space="preserve">END terminator &amp; no column loss</t>
  </si>
  <si>
    <t xml:space="preserve">Appends END as the last column with value 'END' on every row; retains all template columns; column count = headers + 1.</t>
  </si>
  <si>
    <t xml:space="preserve">Supplier header set + 3 generated data rows.</t>
  </si>
  <si>
    <t xml:space="preserve">Last column = END; every END cell = 'END'; all template columns retained; count = headers+1.</t>
  </si>
  <si>
    <t xml:space="preserve">TC-05</t>
  </si>
  <si>
    <t xml:space="preserve">Headerless default &amp; header toggle</t>
  </si>
  <si>
    <t xml:space="preserve">Default output is headerless (first line is data, ending in END); toggling header on emits the label row first.</t>
  </si>
  <si>
    <t xml:space="preserve">Supplier frame rendered to CSV both ways (header off / on).</t>
  </si>
  <si>
    <t xml:space="preserve">Headerless: first line is data + END; header on: first line = labels (Import Action ...).</t>
  </si>
  <si>
    <t xml:space="preserve">TC-06</t>
  </si>
  <si>
    <t xml:space="preserve">Oracle file names &amp; non-supplier no-op</t>
  </si>
  <si>
    <t xml:space="preserve">Produces the exact Oracle zip/CSV names; is a no-op for non-supplier objects (no reorder, no END).</t>
  </si>
  <si>
    <t xml:space="preserve">zip_name_for / csv_name_for + an item sheet routed through the layout.</t>
  </si>
  <si>
    <t xml:space="preserve">PozSuppliersInt / PozSupplierAddressesInt; item frame unchanged, no END column.</t>
  </si>
  <si>
    <t xml:space="preserve">TC-07</t>
  </si>
  <si>
    <t xml:space="preserve">merge_dedupe</t>
  </si>
  <si>
    <t xml:space="preserve">Master de-dup by business key + source priority</t>
  </si>
  <si>
    <t xml:space="preserve">The same business key across two sources collapses to one row; the higher-priority source wins.</t>
  </si>
  <si>
    <t xml:space="preserve">Two supplier frames sharing key S1 (plus S2, S3).</t>
  </si>
  <si>
    <t xml:space="preserve">3 rows total; S1 name taken from the priority (first) source.</t>
  </si>
  <si>
    <t xml:space="preserve">TC-08</t>
  </si>
  <si>
    <t xml:space="preserve">Golden-record survivorship</t>
  </si>
  <si>
    <t xml:space="preserve">A blank field in the priority source is back-filled from a lower source; survivorship off keeps the blank.</t>
  </si>
  <si>
    <t xml:space="preserve">Two frames: priority has blank Phone, lower has Phone=111.</t>
  </si>
  <si>
    <t xml:space="preserve">Survivorship on: Name=priority, Phone=111. Off: Phone stays blank.</t>
  </si>
  <si>
    <t xml:space="preserve">TC-09</t>
  </si>
  <si>
    <t xml:space="preserve">Child interface keeps distinct rows</t>
  </si>
  <si>
    <t xml:space="preserve">Child (many-per-entity) rows are not collapsed to one per key; exact duplicates are still removed.</t>
  </si>
  <si>
    <t xml:space="preserve">Two Supplier Site frames (SITE-A/B/C, SITE-A duplicated).</t>
  </si>
  <si>
    <t xml:space="preserve">SITE-A/B/C all retained; key_col_for returns None for the child interface.</t>
  </si>
  <si>
    <t xml:space="preserve">TC-10</t>
  </si>
  <si>
    <t xml:space="preserve">generate_dq</t>
  </si>
  <si>
    <t xml:space="preserve">Cleansing — trim + custom rule</t>
  </si>
  <si>
    <t xml:space="preserve">Universal trim plus a custom UPPERCASE rule are applied and the TRIM fix is recorded in the report.</t>
  </si>
  <si>
    <t xml:space="preserve">Frame with '  Acme  ' and a Code value + UPPERCASE cleansing rules.</t>
  </si>
  <si>
    <t xml:space="preserve">Value = 'ACME'; a TRIM fix present in the cleansing report.</t>
  </si>
  <si>
    <t xml:space="preserve">TC-11</t>
  </si>
  <si>
    <t xml:space="preserve">Validation — hard error blocks load</t>
  </si>
  <si>
    <t xml:space="preserve">Missing-required and negative-value are both detected; only the hard error blocks the load.</t>
  </si>
  <si>
    <t xml:space="preserve">Frame with an empty required field + Amount = -5; NOT_NEGATIVE rule (severity error).</t>
  </si>
  <si>
    <t xml:space="preserve">hard_error_count = 1; blocked = True.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</si>
</sst>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libri"/>
      <family val="0"/>
      <charset val="1"/>
    </font>
    <font>
      <i val="true"/>
      <sz val="11"/>
      <color rgb="FF6B728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2"/>
      <color rgb="FF2E75B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E7B3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3F6FB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E0"/>
      </left>
      <right style="thin">
        <color rgb="FFC7D2E0"/>
      </right>
      <top style="thin">
        <color rgb="FFC7D2E0"/>
      </top>
      <bottom style="thin">
        <color rgb="FFC7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3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1E7B3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B"/>
      <rgbColor rgb="FFCCFFFF"/>
      <rgbColor rgb="FF660066"/>
      <rgbColor rgb="FFFF8080"/>
      <rgbColor rgb="FF0066CC"/>
      <rgbColor rgb="FFC7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4"/>
    <col collapsed="false" customWidth="true" hidden="false" outlineLevel="0" max="3" min="3" style="0" width="14"/>
  </cols>
  <sheetData>
    <row r="1" customFormat="false" ht="22.0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</row>
    <row r="9" customFormat="false" ht="15" hidden="false" customHeight="false" outlineLevel="0" collapsed="false">
      <c r="A9" s="3" t="s">
        <v>10</v>
      </c>
      <c r="B9" s="5" t="n">
        <f aca="false">COUNTA('Test Cases'!A2:A200)</f>
        <v>11</v>
      </c>
    </row>
    <row r="10" customFormat="false" ht="15" hidden="false" customHeight="false" outlineLevel="0" collapsed="false">
      <c r="A10" s="3" t="s">
        <v>11</v>
      </c>
      <c r="B10" s="5" t="n">
        <f aca="false">COUNTIF('Test Cases'!H2:H200,"Pass")</f>
        <v>11</v>
      </c>
    </row>
    <row r="11" customFormat="false" ht="15" hidden="false" customHeight="false" outlineLevel="0" collapsed="false">
      <c r="A11" s="3" t="s">
        <v>12</v>
      </c>
      <c r="B11" s="5" t="n">
        <f aca="false">COUNTIF('Test Cases'!H2:H200,"Fail")</f>
        <v>0</v>
      </c>
    </row>
    <row r="12" customFormat="false" ht="15" hidden="false" customHeight="false" outlineLevel="0" collapsed="false">
      <c r="A12" s="3" t="s">
        <v>13</v>
      </c>
      <c r="B12" s="6" t="n">
        <f aca="false">IF(COUNTA('Test Cases'!A2:A200)=0,0,COUNTIF('Test Cases'!H2:H200,"Pass")/COUNTA('Test Cases'!A2:A200))</f>
        <v>1</v>
      </c>
    </row>
    <row r="14" customFormat="false" ht="15" hidden="false" customHeight="false" outlineLevel="0" collapsed="false">
      <c r="A14" s="7" t="s">
        <v>14</v>
      </c>
    </row>
    <row r="15" customFormat="false" ht="15" hidden="false" customHeight="false" outlineLevel="0" collapsed="false">
      <c r="A15" s="8" t="s">
        <v>15</v>
      </c>
      <c r="B15" s="8" t="s">
        <v>16</v>
      </c>
      <c r="C15" s="8" t="s">
        <v>11</v>
      </c>
    </row>
    <row r="16" customFormat="false" ht="15" hidden="false" customHeight="false" outlineLevel="0" collapsed="false">
      <c r="A16" s="9" t="s">
        <v>17</v>
      </c>
      <c r="B16" s="9" t="n">
        <f aca="false">COUNTIF('Test Cases'!B:B,A16)</f>
        <v>3</v>
      </c>
      <c r="C16" s="9" t="n">
        <f aca="false">COUNTIFS('Test Cases'!B:B,A16,'Test Cases'!H:H,"Pass")</f>
        <v>3</v>
      </c>
    </row>
    <row r="17" customFormat="false" ht="15" hidden="false" customHeight="false" outlineLevel="0" collapsed="false">
      <c r="A17" s="9" t="s">
        <v>18</v>
      </c>
      <c r="B17" s="9" t="n">
        <f aca="false">COUNTIF('Test Cases'!B:B,A17)</f>
        <v>3</v>
      </c>
      <c r="C17" s="9" t="n">
        <f aca="false">COUNTIFS('Test Cases'!B:B,A17,'Test Cases'!H:H,"Pass")</f>
        <v>3</v>
      </c>
    </row>
    <row r="18" customFormat="false" ht="15" hidden="false" customHeight="false" outlineLevel="0" collapsed="false">
      <c r="A18" s="9" t="s">
        <v>19</v>
      </c>
      <c r="B18" s="9" t="n">
        <f aca="false">COUNTIF('Test Cases'!B:B,A18)</f>
        <v>3</v>
      </c>
      <c r="C18" s="9" t="n">
        <f aca="false">COUNTIFS('Test Cases'!B:B,A18,'Test Cases'!H:H,"Pass")</f>
        <v>3</v>
      </c>
    </row>
    <row r="19" customFormat="false" ht="15" hidden="false" customHeight="false" outlineLevel="0" collapsed="false">
      <c r="A19" s="9" t="s">
        <v>20</v>
      </c>
      <c r="B19" s="9" t="n">
        <f aca="false">COUNTIF('Test Cases'!B:B,A19)</f>
        <v>2</v>
      </c>
      <c r="C19" s="9" t="n">
        <f aca="false">COUNTIFS('Test Cases'!B:B,A19,'Test Cases'!H:H,"Pass")</f>
        <v>2</v>
      </c>
    </row>
  </sheetData>
  <mergeCells count="6">
    <mergeCell ref="A1:C1"/>
    <mergeCell ref="A2:C2"/>
    <mergeCell ref="B4:C4"/>
    <mergeCell ref="B5:C5"/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7" min="6" style="0" width="44"/>
    <col collapsed="false" customWidth="true" hidden="false" outlineLevel="0" max="8" min="8" style="0" width="10"/>
    <col collapsed="false" customWidth="true" hidden="false" outlineLevel="0" max="9" min="9" style="0" width="9"/>
  </cols>
  <sheetData>
    <row r="1" customFormat="false" ht="27.75" hidden="false" customHeight="true" outlineLevel="0" collapsed="false">
      <c r="A1" s="10" t="s">
        <v>21</v>
      </c>
      <c r="B1" s="10" t="s">
        <v>15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</row>
    <row r="2" customFormat="false" ht="57.75" hidden="false" customHeight="true" outlineLevel="0" collapsed="false">
      <c r="A2" s="11" t="s">
        <v>29</v>
      </c>
      <c r="B2" s="12" t="s">
        <v>17</v>
      </c>
      <c r="C2" s="12" t="s">
        <v>30</v>
      </c>
      <c r="D2" s="12" t="s">
        <v>31</v>
      </c>
      <c r="E2" s="12" t="s">
        <v>32</v>
      </c>
      <c r="F2" s="12" t="s">
        <v>33</v>
      </c>
      <c r="G2" s="12" t="s">
        <v>34</v>
      </c>
      <c r="H2" s="13" t="s">
        <v>35</v>
      </c>
      <c r="I2" s="11" t="s">
        <v>36</v>
      </c>
    </row>
    <row r="3" customFormat="false" ht="57.75" hidden="false" customHeight="true" outlineLevel="0" collapsed="false">
      <c r="A3" s="14" t="s">
        <v>37</v>
      </c>
      <c r="B3" s="15" t="s">
        <v>17</v>
      </c>
      <c r="C3" s="15" t="s">
        <v>30</v>
      </c>
      <c r="D3" s="15" t="s">
        <v>38</v>
      </c>
      <c r="E3" s="15" t="s">
        <v>39</v>
      </c>
      <c r="F3" s="15" t="s">
        <v>40</v>
      </c>
      <c r="G3" s="15" t="s">
        <v>41</v>
      </c>
      <c r="H3" s="13" t="s">
        <v>35</v>
      </c>
      <c r="I3" s="14" t="s">
        <v>36</v>
      </c>
    </row>
    <row r="4" customFormat="false" ht="57.75" hidden="false" customHeight="true" outlineLevel="0" collapsed="false">
      <c r="A4" s="11" t="s">
        <v>42</v>
      </c>
      <c r="B4" s="12" t="s">
        <v>17</v>
      </c>
      <c r="C4" s="12" t="s">
        <v>30</v>
      </c>
      <c r="D4" s="12" t="s">
        <v>43</v>
      </c>
      <c r="E4" s="12" t="s">
        <v>44</v>
      </c>
      <c r="F4" s="12" t="s">
        <v>45</v>
      </c>
      <c r="G4" s="12" t="s">
        <v>46</v>
      </c>
      <c r="H4" s="13" t="s">
        <v>35</v>
      </c>
      <c r="I4" s="11" t="s">
        <v>36</v>
      </c>
    </row>
    <row r="5" customFormat="false" ht="57.75" hidden="false" customHeight="true" outlineLevel="0" collapsed="false">
      <c r="A5" s="14" t="s">
        <v>47</v>
      </c>
      <c r="B5" s="15" t="s">
        <v>18</v>
      </c>
      <c r="C5" s="15" t="s">
        <v>48</v>
      </c>
      <c r="D5" s="15" t="s">
        <v>49</v>
      </c>
      <c r="E5" s="15" t="s">
        <v>50</v>
      </c>
      <c r="F5" s="15" t="s">
        <v>51</v>
      </c>
      <c r="G5" s="15" t="s">
        <v>52</v>
      </c>
      <c r="H5" s="13" t="s">
        <v>35</v>
      </c>
      <c r="I5" s="14" t="s">
        <v>36</v>
      </c>
    </row>
    <row r="6" customFormat="false" ht="57.75" hidden="false" customHeight="true" outlineLevel="0" collapsed="false">
      <c r="A6" s="11" t="s">
        <v>53</v>
      </c>
      <c r="B6" s="12" t="s">
        <v>18</v>
      </c>
      <c r="C6" s="12" t="s">
        <v>48</v>
      </c>
      <c r="D6" s="12" t="s">
        <v>54</v>
      </c>
      <c r="E6" s="12" t="s">
        <v>55</v>
      </c>
      <c r="F6" s="12" t="s">
        <v>56</v>
      </c>
      <c r="G6" s="12" t="s">
        <v>57</v>
      </c>
      <c r="H6" s="13" t="s">
        <v>35</v>
      </c>
      <c r="I6" s="11" t="s">
        <v>36</v>
      </c>
    </row>
    <row r="7" customFormat="false" ht="57.75" hidden="false" customHeight="true" outlineLevel="0" collapsed="false">
      <c r="A7" s="14" t="s">
        <v>58</v>
      </c>
      <c r="B7" s="15" t="s">
        <v>18</v>
      </c>
      <c r="C7" s="15" t="s">
        <v>48</v>
      </c>
      <c r="D7" s="15" t="s">
        <v>59</v>
      </c>
      <c r="E7" s="15" t="s">
        <v>60</v>
      </c>
      <c r="F7" s="15" t="s">
        <v>61</v>
      </c>
      <c r="G7" s="15" t="s">
        <v>62</v>
      </c>
      <c r="H7" s="13" t="s">
        <v>35</v>
      </c>
      <c r="I7" s="14" t="s">
        <v>36</v>
      </c>
    </row>
    <row r="8" customFormat="false" ht="57.75" hidden="false" customHeight="true" outlineLevel="0" collapsed="false">
      <c r="A8" s="11" t="s">
        <v>63</v>
      </c>
      <c r="B8" s="12" t="s">
        <v>19</v>
      </c>
      <c r="C8" s="12" t="s">
        <v>64</v>
      </c>
      <c r="D8" s="12" t="s">
        <v>65</v>
      </c>
      <c r="E8" s="12" t="s">
        <v>66</v>
      </c>
      <c r="F8" s="12" t="s">
        <v>67</v>
      </c>
      <c r="G8" s="12" t="s">
        <v>68</v>
      </c>
      <c r="H8" s="13" t="s">
        <v>35</v>
      </c>
      <c r="I8" s="11" t="s">
        <v>36</v>
      </c>
    </row>
    <row r="9" customFormat="false" ht="57.75" hidden="false" customHeight="true" outlineLevel="0" collapsed="false">
      <c r="A9" s="14" t="s">
        <v>69</v>
      </c>
      <c r="B9" s="15" t="s">
        <v>19</v>
      </c>
      <c r="C9" s="15" t="s">
        <v>64</v>
      </c>
      <c r="D9" s="15" t="s">
        <v>70</v>
      </c>
      <c r="E9" s="15" t="s">
        <v>71</v>
      </c>
      <c r="F9" s="15" t="s">
        <v>72</v>
      </c>
      <c r="G9" s="15" t="s">
        <v>73</v>
      </c>
      <c r="H9" s="13" t="s">
        <v>35</v>
      </c>
      <c r="I9" s="14" t="s">
        <v>36</v>
      </c>
    </row>
    <row r="10" customFormat="false" ht="57.75" hidden="false" customHeight="true" outlineLevel="0" collapsed="false">
      <c r="A10" s="11" t="s">
        <v>74</v>
      </c>
      <c r="B10" s="12" t="s">
        <v>19</v>
      </c>
      <c r="C10" s="12" t="s">
        <v>64</v>
      </c>
      <c r="D10" s="12" t="s">
        <v>75</v>
      </c>
      <c r="E10" s="12" t="s">
        <v>76</v>
      </c>
      <c r="F10" s="12" t="s">
        <v>77</v>
      </c>
      <c r="G10" s="12" t="s">
        <v>78</v>
      </c>
      <c r="H10" s="13" t="s">
        <v>35</v>
      </c>
      <c r="I10" s="11" t="s">
        <v>36</v>
      </c>
    </row>
    <row r="11" customFormat="false" ht="57.75" hidden="false" customHeight="true" outlineLevel="0" collapsed="false">
      <c r="A11" s="14" t="s">
        <v>79</v>
      </c>
      <c r="B11" s="15" t="s">
        <v>20</v>
      </c>
      <c r="C11" s="15" t="s">
        <v>80</v>
      </c>
      <c r="D11" s="15" t="s">
        <v>81</v>
      </c>
      <c r="E11" s="15" t="s">
        <v>82</v>
      </c>
      <c r="F11" s="15" t="s">
        <v>83</v>
      </c>
      <c r="G11" s="15" t="s">
        <v>84</v>
      </c>
      <c r="H11" s="13" t="s">
        <v>35</v>
      </c>
      <c r="I11" s="14" t="s">
        <v>36</v>
      </c>
    </row>
    <row r="12" customFormat="false" ht="57.75" hidden="false" customHeight="true" outlineLevel="0" collapsed="false">
      <c r="A12" s="11" t="s">
        <v>85</v>
      </c>
      <c r="B12" s="12" t="s">
        <v>20</v>
      </c>
      <c r="C12" s="12" t="s">
        <v>80</v>
      </c>
      <c r="D12" s="12" t="s">
        <v>86</v>
      </c>
      <c r="E12" s="12" t="s">
        <v>87</v>
      </c>
      <c r="F12" s="12" t="s">
        <v>88</v>
      </c>
      <c r="G12" s="12" t="s">
        <v>89</v>
      </c>
      <c r="H12" s="13" t="s">
        <v>35</v>
      </c>
      <c r="I12" s="11" t="s">
        <v>36</v>
      </c>
    </row>
  </sheetData>
  <autoFilter ref="A1:I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2026-07-25T00:28:19Z</dcterms:created>
  <dc:creator>openpyxl</dc:creator>
  <dc:description/>
  <dc:language>en-US</dc:language>
  <cp:lastModifiedBy/>
  <dcterms:modified xsi:type="dcterms:W3CDTF">2026-07-25T00:28:19Z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