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upplier" sheetId="2" state="visible" r:id="rId4"/>
    <sheet name="Ite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<sst xmlns="http://schemas.openxmlformats.org/spreadsheetml/2006/main" count="134" uniqueCount="68">
  <si>
    <t xml:space="preserve">Mapping Coverage by FBDI Sheet</t>
  </si>
  <si>
    <t xml:space="preserve">Analyst mapping documents vs what the tool holds. Counted on the same basis both sides: DISTINCT Oracle target fields carrying a source column. Status 22-Jul-2026.</t>
  </si>
  <si>
    <t xml:space="preserve">#</t>
  </si>
  <si>
    <t xml:space="preserve">Master data object</t>
  </si>
  <si>
    <t xml:space="preserve">FBDI sheets
in template</t>
  </si>
  <si>
    <t xml:space="preserve">Sheets with a
mapping provided</t>
  </si>
  <si>
    <t xml:space="preserve">Fields mapped
in doc</t>
  </si>
  <si>
    <t xml:space="preserve">Fields covered
in tool</t>
  </si>
  <si>
    <t xml:space="preserve">Coverage</t>
  </si>
  <si>
    <t xml:space="preserve">Supplier</t>
  </si>
  <si>
    <t xml:space="preserve">Item / Product Hub</t>
  </si>
  <si>
    <t xml:space="preserve">Customer</t>
  </si>
  <si>
    <t xml:space="preserve">BOM / Item Structure</t>
  </si>
  <si>
    <t xml:space="preserve">Employee (HCM, HDL)</t>
  </si>
  <si>
    <t xml:space="preserve">TOTAL</t>
  </si>
  <si>
    <t xml:space="preserve">How to read this</t>
  </si>
  <si>
    <t xml:space="preserve">• Fields mapped in doc = distinct Oracle target fields the analyst document gives a source column for. Fields covered in tool = how many of those the tool actually holds a mapping for.</t>
  </si>
  <si>
    <t xml:space="preserve">• Customer, BOM and Employee show no doc figure because no per-sheet analyst mapping document was located for them — their tool mappings were built from the source schema, so there is nothing to measure coverage against yet.</t>
  </si>
  <si>
    <t xml:space="preserve">• A sheet with no mapping provided is not a tool gap. It is an analyst gap: Oracle exposes the sheet, and no source has been assigned to it.</t>
  </si>
  <si>
    <t xml:space="preserve">• Item counts look small because the Arena documents point 363 source attributes at a handful of repeated Extensible Flexfield expressions. See the Item tab for both bases.</t>
  </si>
  <si>
    <t xml:space="preserve">Supplier — coverage per interface sheet</t>
  </si>
  <si>
    <t xml:space="preserve">Source: Suppliers Field Mapping v3 (NetSuite SS Vendors + Arena eBOS). Generated and verified end-to-end against client gold (158 vendors).</t>
  </si>
  <si>
    <t xml:space="preserve">FBDI sheet</t>
  </si>
  <si>
    <t xml:space="preserve">Covered
in tool</t>
  </si>
  <si>
    <t xml:space="preserve">Gap</t>
  </si>
  <si>
    <t xml:space="preserve">Fields in the doc not yet covered</t>
  </si>
  <si>
    <t xml:space="preserve">Delivery Method</t>
  </si>
  <si>
    <t xml:space="preserve">Supplier Address</t>
  </si>
  <si>
    <t xml:space="preserve">Delivery Method, Ordering, Pay, RFQ Or Bidding</t>
  </si>
  <si>
    <t xml:space="preserve">Supplier Site</t>
  </si>
  <si>
    <t xml:space="preserve">Carrier, Mode of Transport, Procurement BU</t>
  </si>
  <si>
    <t xml:space="preserve">Supplier Site Assignment</t>
  </si>
  <si>
    <t xml:space="preserve">Bill-to Location, Ship-to Location, Procurement BU, Inactive Date, Use Withholding Tax</t>
  </si>
  <si>
    <t xml:space="preserve">Supplier Contacts</t>
  </si>
  <si>
    <t xml:space="preserve">Inactive Date, Phone Area Code, Phone Country Code</t>
  </si>
  <si>
    <t xml:space="preserve">Supplier Banks</t>
  </si>
  <si>
    <t xml:space="preserve">Business Unit Name, Delivery Channel Code, Remit Delivery Method, Primary Flag, Supplier Site</t>
  </si>
  <si>
    <t xml:space="preserve">Most of the 21 open fields are Oracle control/behaviour flags (Procurement BU, Delivery Method, Pay / Ordering / RFQ) rather than legacy data — they are configuration decisions, not extract gaps.</t>
  </si>
  <si>
    <t xml:space="preserve">Item / Product Hub — coverage per interface sheet</t>
  </si>
  <si>
    <t xml:space="preserve">Source: 000 NXT Item Field Mapping Documents (SyteLine, NetSuite, Arena eBOS, Arena Ratana Lee, Arena Anaplan). 17 sheets exist; 2 have any mapping.</t>
  </si>
  <si>
    <t xml:space="preserve">Source attributes
mapped in doc</t>
  </si>
  <si>
    <t xml:space="preserve">Distinct Oracle
fields in doc</t>
  </si>
  <si>
    <t xml:space="preserve">State</t>
  </si>
  <si>
    <t xml:space="preserve">EGP_SYSTEM_ITEMS_INTERFACE</t>
  </si>
  <si>
    <t xml:space="preserve">Partial — 24 of 29</t>
  </si>
  <si>
    <t xml:space="preserve">EGO_ITEM_INTF_EFF_B</t>
  </si>
  <si>
    <t xml:space="preserve">Blocked — awaiting EFF config</t>
  </si>
  <si>
    <t xml:space="preserve">EGP_ITEM_REVISIONS_INTERFACE</t>
  </si>
  <si>
    <t xml:space="preserve">—</t>
  </si>
  <si>
    <t xml:space="preserve">No analyst mapping provided</t>
  </si>
  <si>
    <t xml:space="preserve">EGP_ITEM_CATEGORIES_INTERFACE</t>
  </si>
  <si>
    <t xml:space="preserve">EGP_ITEM_RELATIONSHIPS_INTF</t>
  </si>
  <si>
    <t xml:space="preserve">EGO_ITEM_ASSOCIATIONS_INTF</t>
  </si>
  <si>
    <t xml:space="preserve">EGO_ITEM_INTF_EFF_TL</t>
  </si>
  <si>
    <t xml:space="preserve">EGO_ITEM_REVISION_INTF_EFF_B</t>
  </si>
  <si>
    <t xml:space="preserve">EGO_ITEM_REVISION_INTF_EFF_TL</t>
  </si>
  <si>
    <t xml:space="preserve">EGO_ITEM_SUPPLIER_INTF_EFF_B</t>
  </si>
  <si>
    <t xml:space="preserve">EGO_ITEM_SUPPLIER_INTF_EFF_TL</t>
  </si>
  <si>
    <t xml:space="preserve">EGO_STYLE_VARIANT_ATTR_VS_INTF</t>
  </si>
  <si>
    <t xml:space="preserve">EGP_TRADING_PARTNER_ITEMS_INTF</t>
  </si>
  <si>
    <t xml:space="preserve">EGP_ITEM_ATTACHMENTS_INTF</t>
  </si>
  <si>
    <t xml:space="preserve">EGP_MPN_SPN_REL_LINKAGE_INT</t>
  </si>
  <si>
    <t xml:space="preserve">ACA_PD_ITEM_COST_INTERFACE</t>
  </si>
  <si>
    <t xml:space="preserve">EGP_ITEM_ORG_ASSOCIATIONS</t>
  </si>
  <si>
    <t xml:space="preserve">• Two counts because they answer different questions. "Source attributes" is the analyst effort — 605 rows. "Distinct Oracle fields" is the target footprint — 33. They diverge because the Arena documents point 363 source attributes at a handful of repeated Extensible Flexfield expressions.</t>
  </si>
  <si>
    <t xml:space="preserve">• Per source: NetSuite 194 mapped (all main sheet, no EFF) · Arena Ratana Lee 203 (193 EFF) · Arena Anaplan 155 (146 EFF) · Arena eBOS 35 (24 EFF) · SyteLine only 18 of 262 attributes decided.</t>
  </si>
  <si>
    <t xml:space="preserve">• SyteLine is the thinnest source by a wide margin and is an analyst task, not a tool one.</t>
  </si>
  <si>
    <t xml:space="preserve">• The NextPower_Item_FBDI_Template_Fields_Mapping_Completed_v4 workbook has a tab for all 17 sheets, but all 1,365 of its rows have an empty Source System Column — it is a scoping and prioritisation inventory (Must Have / Nice to Have), not a mapping.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</si>
</sst>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5" t="s">
        <v>9</v>
      </c>
      <c r="C5" s="4" t="n">
        <v>6</v>
      </c>
      <c r="D5" s="4" t="n">
        <v>6</v>
      </c>
      <c r="E5" s="4" t="n">
        <v>143</v>
      </c>
      <c r="F5" s="4" t="n">
        <v>122</v>
      </c>
      <c r="G5" s="6" t="n">
        <f aca="false">IF(E5=0,"no doc",F5/E5)</f>
        <v>0.853146853146853</v>
      </c>
    </row>
    <row r="6" customFormat="false" ht="15" hidden="false" customHeight="false" outlineLevel="0" collapsed="false">
      <c r="A6" s="4" t="n">
        <v>2</v>
      </c>
      <c r="B6" s="5" t="s">
        <v>10</v>
      </c>
      <c r="C6" s="4" t="n">
        <v>17</v>
      </c>
      <c r="D6" s="4" t="n">
        <v>2</v>
      </c>
      <c r="E6" s="4" t="n">
        <v>33</v>
      </c>
      <c r="F6" s="4" t="n">
        <v>24</v>
      </c>
      <c r="G6" s="6" t="n">
        <f aca="false">IF(E6=0,"no doc",F6/E6)</f>
        <v>0.727272727272727</v>
      </c>
    </row>
    <row r="7" customFormat="false" ht="15" hidden="false" customHeight="false" outlineLevel="0" collapsed="false">
      <c r="A7" s="4" t="n">
        <v>3</v>
      </c>
      <c r="B7" s="5" t="s">
        <v>11</v>
      </c>
      <c r="C7" s="4" t="n">
        <v>19</v>
      </c>
      <c r="D7" s="4" t="n">
        <v>1</v>
      </c>
      <c r="E7" s="4" t="n">
        <v>0</v>
      </c>
      <c r="F7" s="4" t="n">
        <v>13</v>
      </c>
      <c r="G7" s="7" t="str">
        <f aca="false">IF(E7=0,"no doc",F7/E7)</f>
        <v>no doc</v>
      </c>
    </row>
    <row r="8" customFormat="false" ht="15" hidden="false" customHeight="false" outlineLevel="0" collapsed="false">
      <c r="A8" s="4" t="n">
        <v>4</v>
      </c>
      <c r="B8" s="5" t="s">
        <v>12</v>
      </c>
      <c r="C8" s="4" t="n">
        <v>2</v>
      </c>
      <c r="D8" s="4" t="n">
        <v>2</v>
      </c>
      <c r="E8" s="4" t="n">
        <v>0</v>
      </c>
      <c r="F8" s="4" t="n">
        <v>10</v>
      </c>
      <c r="G8" s="7" t="str">
        <f aca="false">IF(E8=0,"no doc",F8/E8)</f>
        <v>no doc</v>
      </c>
    </row>
    <row r="9" customFormat="false" ht="15" hidden="false" customHeight="false" outlineLevel="0" collapsed="false">
      <c r="A9" s="4" t="n">
        <v>5</v>
      </c>
      <c r="B9" s="5" t="s">
        <v>13</v>
      </c>
      <c r="C9" s="4" t="n">
        <v>1</v>
      </c>
      <c r="D9" s="4" t="n">
        <v>1</v>
      </c>
      <c r="E9" s="4" t="n">
        <v>0</v>
      </c>
      <c r="F9" s="4" t="n">
        <v>20</v>
      </c>
      <c r="G9" s="7" t="str">
        <f aca="false">IF(E9=0,"no doc",F9/E9)</f>
        <v>no doc</v>
      </c>
    </row>
    <row r="10" customFormat="false" ht="15" hidden="false" customHeight="false" outlineLevel="0" collapsed="false">
      <c r="A10" s="8"/>
      <c r="B10" s="9" t="s">
        <v>14</v>
      </c>
      <c r="C10" s="10" t="n">
        <f aca="false">SUM(C5:C9)</f>
        <v>45</v>
      </c>
      <c r="D10" s="10" t="n">
        <f aca="false">SUM(D5:D9)</f>
        <v>12</v>
      </c>
      <c r="E10" s="10" t="n">
        <f aca="false">SUM(E5:E9)</f>
        <v>176</v>
      </c>
      <c r="F10" s="10" t="n">
        <f aca="false">SUM(F5:F9)</f>
        <v>189</v>
      </c>
      <c r="G10" s="8"/>
    </row>
    <row r="12" customFormat="false" ht="15" hidden="false" customHeight="false" outlineLevel="0" collapsed="false">
      <c r="A12" s="11" t="s">
        <v>15</v>
      </c>
    </row>
    <row r="13" customFormat="false" ht="25.5" hidden="false" customHeight="true" outlineLevel="0" collapsed="false">
      <c r="A13" s="12" t="s">
        <v>16</v>
      </c>
      <c r="B13" s="12"/>
      <c r="C13" s="12"/>
      <c r="D13" s="12"/>
      <c r="E13" s="12"/>
      <c r="F13" s="12"/>
      <c r="G13" s="12"/>
    </row>
    <row r="14" customFormat="false" ht="25.5" hidden="false" customHeight="true" outlineLevel="0" collapsed="false">
      <c r="A14" s="12" t="s">
        <v>17</v>
      </c>
      <c r="B14" s="12"/>
      <c r="C14" s="12"/>
      <c r="D14" s="12"/>
      <c r="E14" s="12"/>
      <c r="F14" s="12"/>
      <c r="G14" s="12"/>
    </row>
    <row r="15" customFormat="false" ht="25.5" hidden="false" customHeight="true" outlineLevel="0" collapsed="false">
      <c r="A15" s="12" t="s">
        <v>18</v>
      </c>
      <c r="B15" s="12"/>
      <c r="C15" s="12"/>
      <c r="D15" s="12"/>
      <c r="E15" s="12"/>
      <c r="F15" s="12"/>
      <c r="G15" s="12"/>
    </row>
    <row r="16" customFormat="false" ht="25.5" hidden="false" customHeight="true" outlineLevel="0" collapsed="false">
      <c r="A16" s="12" t="s">
        <v>19</v>
      </c>
      <c r="B16" s="12"/>
      <c r="C16" s="12"/>
      <c r="D16" s="12"/>
      <c r="E16" s="12"/>
      <c r="F16" s="12"/>
      <c r="G16" s="12"/>
    </row>
  </sheetData>
  <mergeCells count="6">
    <mergeCell ref="A1:G1"/>
    <mergeCell ref="A2:G2"/>
    <mergeCell ref="A13:G13"/>
    <mergeCell ref="A14:G14"/>
    <mergeCell ref="A15:G1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1" t="s">
        <v>20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2</v>
      </c>
      <c r="B4" s="3" t="s">
        <v>22</v>
      </c>
      <c r="C4" s="3" t="s">
        <v>6</v>
      </c>
      <c r="D4" s="3" t="s">
        <v>23</v>
      </c>
      <c r="E4" s="3" t="s">
        <v>24</v>
      </c>
      <c r="F4" s="3" t="s">
        <v>25</v>
      </c>
    </row>
    <row r="5" customFormat="false" ht="27.75" hidden="false" customHeight="true" outlineLevel="0" collapsed="false">
      <c r="A5" s="13" t="n">
        <v>1</v>
      </c>
      <c r="B5" s="14" t="s">
        <v>9</v>
      </c>
      <c r="C5" s="13" t="n">
        <v>26</v>
      </c>
      <c r="D5" s="15" t="n">
        <v>25</v>
      </c>
      <c r="E5" s="13" t="n">
        <v>1</v>
      </c>
      <c r="F5" s="16" t="s">
        <v>26</v>
      </c>
    </row>
    <row r="6" customFormat="false" ht="27.75" hidden="false" customHeight="true" outlineLevel="0" collapsed="false">
      <c r="A6" s="13" t="n">
        <v>2</v>
      </c>
      <c r="B6" s="14" t="s">
        <v>27</v>
      </c>
      <c r="C6" s="13" t="n">
        <v>32</v>
      </c>
      <c r="D6" s="17" t="n">
        <v>28</v>
      </c>
      <c r="E6" s="13" t="n">
        <v>4</v>
      </c>
      <c r="F6" s="16" t="s">
        <v>28</v>
      </c>
    </row>
    <row r="7" customFormat="false" ht="27.75" hidden="false" customHeight="true" outlineLevel="0" collapsed="false">
      <c r="A7" s="13" t="n">
        <v>3</v>
      </c>
      <c r="B7" s="14" t="s">
        <v>29</v>
      </c>
      <c r="C7" s="13" t="n">
        <v>35</v>
      </c>
      <c r="D7" s="15" t="n">
        <v>32</v>
      </c>
      <c r="E7" s="13" t="n">
        <v>3</v>
      </c>
      <c r="F7" s="16" t="s">
        <v>30</v>
      </c>
    </row>
    <row r="8" customFormat="false" ht="27.75" hidden="false" customHeight="true" outlineLevel="0" collapsed="false">
      <c r="A8" s="13" t="n">
        <v>4</v>
      </c>
      <c r="B8" s="14" t="s">
        <v>31</v>
      </c>
      <c r="C8" s="13" t="n">
        <v>12</v>
      </c>
      <c r="D8" s="18" t="n">
        <v>7</v>
      </c>
      <c r="E8" s="13" t="n">
        <v>5</v>
      </c>
      <c r="F8" s="16" t="s">
        <v>32</v>
      </c>
    </row>
    <row r="9" customFormat="false" ht="27.75" hidden="false" customHeight="true" outlineLevel="0" collapsed="false">
      <c r="A9" s="13" t="n">
        <v>5</v>
      </c>
      <c r="B9" s="14" t="s">
        <v>33</v>
      </c>
      <c r="C9" s="13" t="n">
        <v>19</v>
      </c>
      <c r="D9" s="17" t="n">
        <v>16</v>
      </c>
      <c r="E9" s="13" t="n">
        <v>3</v>
      </c>
      <c r="F9" s="16" t="s">
        <v>34</v>
      </c>
    </row>
    <row r="10" customFormat="false" ht="27.75" hidden="false" customHeight="true" outlineLevel="0" collapsed="false">
      <c r="A10" s="13" t="n">
        <v>6</v>
      </c>
      <c r="B10" s="14" t="s">
        <v>35</v>
      </c>
      <c r="C10" s="13" t="n">
        <v>19</v>
      </c>
      <c r="D10" s="17" t="n">
        <v>14</v>
      </c>
      <c r="E10" s="13" t="n">
        <v>5</v>
      </c>
      <c r="F10" s="16" t="s">
        <v>36</v>
      </c>
    </row>
    <row r="11" customFormat="false" ht="15" hidden="false" customHeight="false" outlineLevel="0" collapsed="false">
      <c r="A11" s="8"/>
      <c r="B11" s="9" t="s">
        <v>14</v>
      </c>
      <c r="C11" s="10" t="n">
        <f aca="false">SUM(C5:C10)</f>
        <v>143</v>
      </c>
      <c r="D11" s="10" t="n">
        <f aca="false">SUM(D5:D10)</f>
        <v>122</v>
      </c>
      <c r="E11" s="10" t="n">
        <f aca="false">SUM(E5:E10)</f>
        <v>21</v>
      </c>
      <c r="F11" s="8"/>
    </row>
    <row r="13" customFormat="false" ht="15" hidden="false" customHeight="false" outlineLevel="0" collapsed="false">
      <c r="A13" s="19" t="s">
        <v>37</v>
      </c>
      <c r="B13" s="19"/>
      <c r="C13" s="19"/>
      <c r="D13" s="19"/>
      <c r="E13" s="19"/>
      <c r="F13" s="19"/>
    </row>
  </sheetData>
  <mergeCells count="3">
    <mergeCell ref="A1:F1"/>
    <mergeCell ref="A2:F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38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39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2</v>
      </c>
      <c r="B4" s="3" t="s">
        <v>22</v>
      </c>
      <c r="C4" s="3" t="s">
        <v>40</v>
      </c>
      <c r="D4" s="3" t="s">
        <v>41</v>
      </c>
      <c r="E4" s="3" t="s">
        <v>23</v>
      </c>
      <c r="F4" s="3" t="s">
        <v>42</v>
      </c>
    </row>
    <row r="5" customFormat="false" ht="15" hidden="false" customHeight="false" outlineLevel="0" collapsed="false">
      <c r="A5" s="4" t="n">
        <v>1</v>
      </c>
      <c r="B5" s="5" t="s">
        <v>43</v>
      </c>
      <c r="C5" s="4" t="n">
        <v>240</v>
      </c>
      <c r="D5" s="4" t="n">
        <v>29</v>
      </c>
      <c r="E5" s="20" t="n">
        <v>24</v>
      </c>
      <c r="F5" s="21" t="s">
        <v>44</v>
      </c>
    </row>
    <row r="6" customFormat="false" ht="15" hidden="false" customHeight="false" outlineLevel="0" collapsed="false">
      <c r="A6" s="4" t="n">
        <v>2</v>
      </c>
      <c r="B6" s="5" t="s">
        <v>45</v>
      </c>
      <c r="C6" s="4" t="n">
        <v>363</v>
      </c>
      <c r="D6" s="4" t="n">
        <v>4</v>
      </c>
      <c r="E6" s="22" t="n">
        <v>0</v>
      </c>
      <c r="F6" s="21" t="s">
        <v>46</v>
      </c>
    </row>
    <row r="7" customFormat="false" ht="15" hidden="false" customHeight="false" outlineLevel="0" collapsed="false">
      <c r="A7" s="23" t="n">
        <v>3</v>
      </c>
      <c r="B7" s="24" t="s">
        <v>47</v>
      </c>
      <c r="C7" s="23" t="s">
        <v>48</v>
      </c>
      <c r="D7" s="23" t="s">
        <v>48</v>
      </c>
      <c r="E7" s="23" t="s">
        <v>48</v>
      </c>
      <c r="F7" s="24" t="s">
        <v>49</v>
      </c>
    </row>
    <row r="8" customFormat="false" ht="15" hidden="false" customHeight="false" outlineLevel="0" collapsed="false">
      <c r="A8" s="23" t="n">
        <v>4</v>
      </c>
      <c r="B8" s="24" t="s">
        <v>50</v>
      </c>
      <c r="C8" s="23" t="s">
        <v>48</v>
      </c>
      <c r="D8" s="23" t="s">
        <v>48</v>
      </c>
      <c r="E8" s="23" t="s">
        <v>48</v>
      </c>
      <c r="F8" s="24" t="s">
        <v>49</v>
      </c>
    </row>
    <row r="9" customFormat="false" ht="15" hidden="false" customHeight="false" outlineLevel="0" collapsed="false">
      <c r="A9" s="23" t="n">
        <v>5</v>
      </c>
      <c r="B9" s="24" t="s">
        <v>51</v>
      </c>
      <c r="C9" s="23" t="s">
        <v>48</v>
      </c>
      <c r="D9" s="23" t="s">
        <v>48</v>
      </c>
      <c r="E9" s="23" t="s">
        <v>48</v>
      </c>
      <c r="F9" s="24" t="s">
        <v>49</v>
      </c>
    </row>
    <row r="10" customFormat="false" ht="15" hidden="false" customHeight="false" outlineLevel="0" collapsed="false">
      <c r="A10" s="23" t="n">
        <v>6</v>
      </c>
      <c r="B10" s="24" t="s">
        <v>52</v>
      </c>
      <c r="C10" s="23" t="s">
        <v>48</v>
      </c>
      <c r="D10" s="23" t="s">
        <v>48</v>
      </c>
      <c r="E10" s="23" t="s">
        <v>48</v>
      </c>
      <c r="F10" s="24" t="s">
        <v>49</v>
      </c>
    </row>
    <row r="11" customFormat="false" ht="15" hidden="false" customHeight="false" outlineLevel="0" collapsed="false">
      <c r="A11" s="23" t="n">
        <v>7</v>
      </c>
      <c r="B11" s="24" t="s">
        <v>53</v>
      </c>
      <c r="C11" s="23" t="s">
        <v>48</v>
      </c>
      <c r="D11" s="23" t="s">
        <v>48</v>
      </c>
      <c r="E11" s="23" t="s">
        <v>48</v>
      </c>
      <c r="F11" s="24" t="s">
        <v>49</v>
      </c>
    </row>
    <row r="12" customFormat="false" ht="15" hidden="false" customHeight="false" outlineLevel="0" collapsed="false">
      <c r="A12" s="23" t="n">
        <v>8</v>
      </c>
      <c r="B12" s="24" t="s">
        <v>54</v>
      </c>
      <c r="C12" s="23" t="s">
        <v>48</v>
      </c>
      <c r="D12" s="23" t="s">
        <v>48</v>
      </c>
      <c r="E12" s="23" t="s">
        <v>48</v>
      </c>
      <c r="F12" s="24" t="s">
        <v>49</v>
      </c>
    </row>
    <row r="13" customFormat="false" ht="15" hidden="false" customHeight="false" outlineLevel="0" collapsed="false">
      <c r="A13" s="23" t="n">
        <v>9</v>
      </c>
      <c r="B13" s="24" t="s">
        <v>55</v>
      </c>
      <c r="C13" s="23" t="s">
        <v>48</v>
      </c>
      <c r="D13" s="23" t="s">
        <v>48</v>
      </c>
      <c r="E13" s="23" t="s">
        <v>48</v>
      </c>
      <c r="F13" s="24" t="s">
        <v>49</v>
      </c>
    </row>
    <row r="14" customFormat="false" ht="15" hidden="false" customHeight="false" outlineLevel="0" collapsed="false">
      <c r="A14" s="23" t="n">
        <v>10</v>
      </c>
      <c r="B14" s="24" t="s">
        <v>56</v>
      </c>
      <c r="C14" s="23" t="s">
        <v>48</v>
      </c>
      <c r="D14" s="23" t="s">
        <v>48</v>
      </c>
      <c r="E14" s="23" t="s">
        <v>48</v>
      </c>
      <c r="F14" s="24" t="s">
        <v>49</v>
      </c>
    </row>
    <row r="15" customFormat="false" ht="15" hidden="false" customHeight="false" outlineLevel="0" collapsed="false">
      <c r="A15" s="23" t="n">
        <v>11</v>
      </c>
      <c r="B15" s="24" t="s">
        <v>57</v>
      </c>
      <c r="C15" s="23" t="s">
        <v>48</v>
      </c>
      <c r="D15" s="23" t="s">
        <v>48</v>
      </c>
      <c r="E15" s="23" t="s">
        <v>48</v>
      </c>
      <c r="F15" s="24" t="s">
        <v>49</v>
      </c>
    </row>
    <row r="16" customFormat="false" ht="15" hidden="false" customHeight="false" outlineLevel="0" collapsed="false">
      <c r="A16" s="23" t="n">
        <v>12</v>
      </c>
      <c r="B16" s="24" t="s">
        <v>58</v>
      </c>
      <c r="C16" s="23" t="s">
        <v>48</v>
      </c>
      <c r="D16" s="23" t="s">
        <v>48</v>
      </c>
      <c r="E16" s="23" t="s">
        <v>48</v>
      </c>
      <c r="F16" s="24" t="s">
        <v>49</v>
      </c>
    </row>
    <row r="17" customFormat="false" ht="15" hidden="false" customHeight="false" outlineLevel="0" collapsed="false">
      <c r="A17" s="23" t="n">
        <v>13</v>
      </c>
      <c r="B17" s="24" t="s">
        <v>59</v>
      </c>
      <c r="C17" s="23" t="s">
        <v>48</v>
      </c>
      <c r="D17" s="23" t="s">
        <v>48</v>
      </c>
      <c r="E17" s="23" t="s">
        <v>48</v>
      </c>
      <c r="F17" s="24" t="s">
        <v>49</v>
      </c>
    </row>
    <row r="18" customFormat="false" ht="15" hidden="false" customHeight="false" outlineLevel="0" collapsed="false">
      <c r="A18" s="23" t="n">
        <v>14</v>
      </c>
      <c r="B18" s="24" t="s">
        <v>60</v>
      </c>
      <c r="C18" s="23" t="s">
        <v>48</v>
      </c>
      <c r="D18" s="23" t="s">
        <v>48</v>
      </c>
      <c r="E18" s="23" t="s">
        <v>48</v>
      </c>
      <c r="F18" s="24" t="s">
        <v>49</v>
      </c>
    </row>
    <row r="19" customFormat="false" ht="15" hidden="false" customHeight="false" outlineLevel="0" collapsed="false">
      <c r="A19" s="23" t="n">
        <v>15</v>
      </c>
      <c r="B19" s="24" t="s">
        <v>61</v>
      </c>
      <c r="C19" s="23" t="s">
        <v>48</v>
      </c>
      <c r="D19" s="23" t="s">
        <v>48</v>
      </c>
      <c r="E19" s="23" t="s">
        <v>48</v>
      </c>
      <c r="F19" s="24" t="s">
        <v>49</v>
      </c>
    </row>
    <row r="20" customFormat="false" ht="15" hidden="false" customHeight="false" outlineLevel="0" collapsed="false">
      <c r="A20" s="23" t="n">
        <v>16</v>
      </c>
      <c r="B20" s="24" t="s">
        <v>62</v>
      </c>
      <c r="C20" s="23" t="s">
        <v>48</v>
      </c>
      <c r="D20" s="23" t="s">
        <v>48</v>
      </c>
      <c r="E20" s="23" t="s">
        <v>48</v>
      </c>
      <c r="F20" s="24" t="s">
        <v>49</v>
      </c>
    </row>
    <row r="21" customFormat="false" ht="15" hidden="false" customHeight="false" outlineLevel="0" collapsed="false">
      <c r="A21" s="23" t="n">
        <v>17</v>
      </c>
      <c r="B21" s="24" t="s">
        <v>63</v>
      </c>
      <c r="C21" s="23" t="s">
        <v>48</v>
      </c>
      <c r="D21" s="23" t="s">
        <v>48</v>
      </c>
      <c r="E21" s="23" t="s">
        <v>48</v>
      </c>
      <c r="F21" s="24" t="s">
        <v>49</v>
      </c>
    </row>
    <row r="22" customFormat="false" ht="15" hidden="false" customHeight="false" outlineLevel="0" collapsed="false">
      <c r="A22" s="8"/>
      <c r="B22" s="9" t="s">
        <v>14</v>
      </c>
      <c r="C22" s="10" t="n">
        <f aca="false">SUM(C5:C21)</f>
        <v>603</v>
      </c>
      <c r="D22" s="10" t="n">
        <f aca="false">SUM(D5:D21)</f>
        <v>33</v>
      </c>
      <c r="E22" s="10" t="n">
        <f aca="false">SUM(E5:E21)</f>
        <v>24</v>
      </c>
      <c r="F22" s="8"/>
    </row>
    <row r="24" customFormat="false" ht="30" hidden="false" customHeight="true" outlineLevel="0" collapsed="false">
      <c r="A24" s="12" t="s">
        <v>64</v>
      </c>
      <c r="B24" s="12"/>
      <c r="C24" s="12"/>
      <c r="D24" s="12"/>
      <c r="E24" s="12"/>
      <c r="F24" s="12"/>
    </row>
    <row r="25" customFormat="false" ht="30" hidden="false" customHeight="true" outlineLevel="0" collapsed="false">
      <c r="A25" s="12" t="s">
        <v>65</v>
      </c>
      <c r="B25" s="12"/>
      <c r="C25" s="12"/>
      <c r="D25" s="12"/>
      <c r="E25" s="12"/>
      <c r="F25" s="12"/>
    </row>
    <row r="26" customFormat="false" ht="30" hidden="false" customHeight="true" outlineLevel="0" collapsed="false">
      <c r="A26" s="12" t="s">
        <v>66</v>
      </c>
      <c r="B26" s="12"/>
      <c r="C26" s="12"/>
      <c r="D26" s="12"/>
      <c r="E26" s="12"/>
      <c r="F26" s="12"/>
    </row>
    <row r="27" customFormat="false" ht="30" hidden="false" customHeight="true" outlineLevel="0" collapsed="false">
      <c r="A27" s="12" t="s">
        <v>67</v>
      </c>
      <c r="B27" s="12"/>
      <c r="C27" s="12"/>
      <c r="D27" s="12"/>
      <c r="E27" s="12"/>
      <c r="F27" s="12"/>
    </row>
  </sheetData>
  <mergeCells count="6">
    <mergeCell ref="A1:F1"/>
    <mergeCell ref="A2:F2"/>
    <mergeCell ref="A24:F24"/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2026-07-22T17:19:59Z</dcterms:created>
  <dc:creator>openpyxl</dc:creator>
  <dc:description/>
  <dc:language>en-US</dc:language>
  <cp:lastModifiedBy/>
  <dcterms:modified xsi:type="dcterms:W3CDTF">2026-07-22T17:19:59Z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