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sue Status" sheetId="1" state="visible" r:id="rId3"/>
    <sheet name="Summary" sheetId="2" state="visible" r:id="rId4"/>
  </sheets>
  <definedNames>
    <definedName function="false" hidden="true" localSheetId="0" name="_xlnm._FilterDatabase" vbProcedure="false">'Issue Status'!$A$4:$L$12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<sst xmlns="http://schemas.openxmlformats.org/spreadsheetml/2006/main" count="111" uniqueCount="86">
  <si>
    <t xml:space="preserve">Trinamix Conversion Workbench - QA Issue Status</t>
  </si>
  <si>
    <t xml:space="preserve">Issue list recorded 27/07/2026. Status as at 27/07/2026. Verification was done statically (code replay + unit tests); items marked 'Live check after deploy' still need a click-through on the deployed app.</t>
  </si>
  <si>
    <t xml:space="preserve">Sr No</t>
  </si>
  <si>
    <t xml:space="preserve">Recorded Date</t>
  </si>
  <si>
    <t xml:space="preserve">Module</t>
  </si>
  <si>
    <t xml:space="preserve">Issue Description</t>
  </si>
  <si>
    <t xml:space="preserve">Affected Oracle Target Fields</t>
  </si>
  <si>
    <t xml:space="preserve">Raised By</t>
  </si>
  <si>
    <t xml:space="preserve">Status</t>
  </si>
  <si>
    <t xml:space="preserve">Root Cause</t>
  </si>
  <si>
    <t xml:space="preserve">Fix Applied</t>
  </si>
  <si>
    <t xml:space="preserve">Files Changed</t>
  </si>
  <si>
    <t xml:space="preserve">Verification Done</t>
  </si>
  <si>
    <t xml:space="preserve">Live Check After Deploy</t>
  </si>
  <si>
    <t xml:space="preserve">27/07/2026</t>
  </si>
  <si>
    <t xml:space="preserve">Customer</t>
  </si>
  <si>
    <t xml:space="preserve">Input file has two sheets - Customer and Address. If we upload a workbook with two sheets, the conversion includes only the columns from the first sheet as source columns. Current implementation generates two conversions when two sheets are uploaded.</t>
  </si>
  <si>
    <t xml:space="preserve">Tejaswini</t>
  </si>
  <si>
    <t xml:space="preserve">Fixed (partial)</t>
  </si>
  <si>
    <t xml:space="preserve">The upload paths sent no sheet argument, so tabular_parser.py:163-166 silently kept only the LARGEST sheet (note: largest, not first - which sheet you lost depended on the data). Sheet picking existed but was wired only into Create Dataset, not Convert-a-file or the Setup wizard.</t>
  </si>
  <si>
    <t xml:space="preserve">ConvertFilePage.analyzeAll now peeks sheets before upload and expands a multi-sheet workbook into one row per data sheet (rows &gt; 1), uploading each with its sheet argument so BOTH sheets' columns become available. Each row shows a sheet chip. Non-xlsx and single-sheet files are untouched; the peek is best-effort.</t>
  </si>
  <si>
    <t xml:space="preserve">frontend/src/pages/ConvertFilePage.tsx</t>
  </si>
  <si>
    <t xml:space="preserve">tsc clean on edited region; peek/upload signatures checked against api/index.ts.</t>
  </si>
  <si>
    <t xml:space="preserve">Upload a two-sheet workbook on Convert a file - confirm two rows appear, each with a sheet chip.</t>
  </si>
  <si>
    <t xml:space="preserve">Default values added and approved, reflects in mapping on UI and mapping sheet downloaded through the tool, but doesn't reflect in the output FBDI files.</t>
  </si>
  <si>
    <t xml:space="preserve">Include in Credit Check, Credit Hold, Send Dunning Letters, Send Statement</t>
  </si>
  <si>
    <t xml:space="preserve">Fixed</t>
  </si>
  <si>
    <t xml:space="preserve">Fixed in an earlier wave (section 9.x). The output writer skipped columns with no source column even when a default was present.</t>
  </si>
  <si>
    <t xml:space="preserve">_transform_frame emits the default when there is no source column; generate now also applies compute_effective_defaults - the same layer the Mapping Review UI and the export read - to blank, non-suppressed columns. The four named fields are in no suppression list.</t>
  </si>
  <si>
    <t xml:space="preserve">backend/app/services/output_service.py</t>
  </si>
  <si>
    <t xml:space="preserve">Confirmed by code audit this session; the four fields are named in the code comment at output_service.py:534.</t>
  </si>
  <si>
    <t xml:space="preserve">Generate a Customer conversion and confirm the four fields carry their approved defaults.</t>
  </si>
  <si>
    <t xml:space="preserve">Item</t>
  </si>
  <si>
    <t xml:space="preserve">AI Mapping file to be shared with the functional team in a more user-friendly format. The suggestions and their probabilities should be grouped into confidence bands (eg. 90-100, 80-90, 75-80, 50-75, below 50, 0).</t>
  </si>
  <si>
    <t xml:space="preserve">Export was a flat CSV with no banding.</t>
  </si>
  <si>
    <t xml:space="preserve">Export is now an Excel workbook: a Summary tab plus one sheet per confidence band (100 exact, 95-100, 90-95, 85-90, 75-85, 50-75, 0-50, no match). This session also added a flat 'All Fields' sheet so the familiar single-table view is retained alongside the bands, with AI-vetted reasons per alternative and value crosswalks.</t>
  </si>
  <si>
    <t xml:space="preserve">backend/app/services/mapping_export_service.py; frontend/src/pages/MappingReviewPage.tsx</t>
  </si>
  <si>
    <t xml:space="preserve">tests/test_mapping_export.py 7/7 pass; workbook built and sheet list inspected.</t>
  </si>
  <si>
    <t xml:space="preserve">Export mapping (Excel) on a Customer conversion - confirm Summary + All Fields + band sheets.</t>
  </si>
  <si>
    <t xml:space="preserve">The confidence scores for the suggested mappings on an average is below 50. Scope to improve suggestions as most of them only check type compatibility and keyword check. Refer to sheet4 for the count details.</t>
  </si>
  <si>
    <t xml:space="preserve">Improved</t>
  </si>
  <si>
    <t xml:space="preserve">Two causes: name scoring credited only exact/prefix token hits, and _heavy = field_count &gt; 300 fully DISABLED the AI residual on wide templates - so Item (300+ fields) and Customer (1,254) ran on deterministic scoring alone.</t>
  </si>
  <si>
    <t xml:space="preserve">Scoring now blends Jaccard + soft coverage + a whole-name difflib ratio, with graded partial credit and glued-token matching (hiredate = hire+date). Wide templates now send their low-confidence residual to the model, capped at 120 required-first. A precision bug found this session was also fixed: accidental substrings scored as matches (capacity vs City 57% -&gt; 10%) with no loss on genuine matches.</t>
  </si>
  <si>
    <t xml:space="preserve">backend/app/ai/rule_based.py; backend/app/services/mapping_service.py</t>
  </si>
  <si>
    <t xml:space="preserve">Re-measured across modules: hiredate 62%, componentitem 63%, effstartdate 61%, custmer_name 78%, adress 65%; unrelated pairs hold at 4-6%. 16/16 tests pass.</t>
  </si>
  <si>
    <t xml:space="preserve">Run AI Auto Map on one conversion per module and check the confidence column - this exercises the live AI path the sandbox cannot.</t>
  </si>
  <si>
    <t xml:space="preserve">Supplier</t>
  </si>
  <si>
    <t xml:space="preserve">I noticed that when I delete items from the Learning Center while working on supplier files, they reappear instead of being removed permanently.</t>
  </si>
  <si>
    <t xml:space="preserve">Aryan</t>
  </si>
  <si>
    <t xml:space="preserve">Deletion was a hard delete with no memory - no tombstone existed anywhere in the codebase. Seven automatic paths recreated the row: the startup seeds (find-or-insert, so every restart), auto-capture after every Generate Output (supplier is never 'heavy', so this always ran), approve/override, the AI default cache, and gold-example re-upload.</t>
  </si>
  <si>
    <t xml:space="preserve">LearnedMapping gains is_deleted / deleted_at / deleted_by. Rather than patch ~40 query sites across 18 modules (one miss = the bug survives), find/find_one/find_all are overridden ON THE MODEL to inject the tombstone filter, with an include_deleted escape hatch. Delete now tombstones (?purge=true still hard-deletes) and is reversible via POST /{id}/restore and GET /retired/list. All seven resurrection paths closed.</t>
  </si>
  <si>
    <t xml:space="preserve">backend/app/models/learned.py; routers/learned.py; services/learning_service.py, catalog_seed_service.py, defaults_service.py, example_learning_service.py; frontend/src/api/index.ts</t>
  </si>
  <si>
    <t xml:space="preserve">Query-shape behaviour verified against Beanie 2.1 (plain dicts, multi-arg $and, $in, sort/limit chains, kwargs). $ne:True also matches rows predating the field, so no migration is needed.</t>
  </si>
  <si>
    <t xml:space="preserve">Delete a supplier learning, restart the backend, confirm it stays gone and appears under retired.</t>
  </si>
  <si>
    <t xml:space="preserve">Supplier - NetSuite</t>
  </si>
  <si>
    <t xml:space="preserve">Custom Transformation Rule is getting saved, reflects correctly in the output FBDI file. However if we click on 'Add custom Transformation Rule' again, the saved transformation does not appear.</t>
  </si>
  <si>
    <t xml:space="preserve">Purely frontend: RuleAuthorModal's open-effect unconditionally reset the form to a blank VALUE_MAP and never fetched existing rules. The backend was saving AND learning the rule correctly all along - which is exactly why the output was right while the form looked empty. A second, unreported defect sat behind it: save() always POSTed, so re-saving silently stacked a DUPLICATE rule on the same field, and both fired at generate time.</t>
  </si>
  <si>
    <t xml:space="preserve">On open the modal loads the conversion's rules and pre-fills the form (type, config, source column, description; latest by sequence wins). A banner lists every saved rule for that field - click to load, trash to delete, or add another deliberately. New PUT /rules/{id} edits in place and re-runs record_learning_from_rule so future conversions inherit the EDITED rule. Title/button switch to Edit / Update &amp; learn.</t>
  </si>
  <si>
    <t xml:space="preserve">backend/app/routers/mapping.py; frontend/src/components/transforms/RuleAuthorModal.tsx; frontend/src/api/index.ts</t>
  </si>
  <si>
    <t xml:space="preserve">Backend parses clean; tsc clean for RuleAuthorModal (also cleared a pre-existing id type mismatch in that file).</t>
  </si>
  <si>
    <t xml:space="preserve">Open a Supplier-NetSuite field that has a saved rule, click Add custom transformation rule, confirm it loads rather than opening blank, and that Save updates instead of duplicating.</t>
  </si>
  <si>
    <t xml:space="preserve">EBOS Supplier New - 2207</t>
  </si>
  <si>
    <t xml:space="preserve">Default values in the learning centre is not getting populated.</t>
  </si>
  <si>
    <t xml:space="preserve">debayon</t>
  </si>
  <si>
    <t xml:space="preserve">Two independent causes. (1) record_learning_from_mapping returned early when there was no source column, and both router call sites gated on m.source_column - so a default-only decision was learned ONLY after a Generate Output ran. (2) In capture_learnings_from_conversion the not_applicable branch ran first, filing 'not_applicable + default' under 'left blank on purpose' - contradicting the output writer, which treats that same shape as populate.</t>
  </si>
  <si>
    <t xml:space="preserve">Both router gates and the service now also accept a non-blank default_value, recording an example_default for the default-only case. The not_applicable branch now requires a blank default, and the example_default branch accepts not_applicable. The UI and API were already correct - the rows were simply never written.</t>
  </si>
  <si>
    <t xml:space="preserve">backend/app/services/learning_service.py; backend/app/routers/mapping.py</t>
  </si>
  <si>
    <t xml:space="preserve">Decision table replayed: analyst default, Set-fixed-value and NA+default all now capture as example_default; genuine blanks still capture as suppress_field.</t>
  </si>
  <si>
    <t xml:space="preserve">Set a fixed value in Mapping Review and check the Learning Centre 'Default values' tab BEFORE generating.</t>
  </si>
  <si>
    <t xml:space="preserve">Address name is shown mapped correctly to city in the UI, but the generated file contains a static value 'PRIMARY'.</t>
  </si>
  <si>
    <t xml:space="preserve">Address Name</t>
  </si>
  <si>
    <t xml:space="preserve">_CONTROL_DEFAULTS['address name'] = 'PRIMARY' and 'address name' sits in _AUTHORITATIVE, whose branch did df[col] = constant with NO check for an explicit mapping - so the seeded eBOS mapping (Address Name &lt;- city) was written and then overwritten at finalize. The UI and preview disagreed because get_output_preview never calls _apply_control_defaults. This was silently corrupting output the analyst believed was mapped correctly.</t>
  </si>
  <si>
    <t xml:space="preserve">_apply_control_defaults now receives the set of fields explicitly bound to a source column (status approved or overridden) and skips the authoritative constant for them; 'suggested' is deliberately excluded, since auto-map guessing is what the constants exist to correct. A new fallback still writes the constant when the mapped source produced nothing, so no control column ships empty. Same fix covers Supplier Site, Pay, Ordering and RFQ or Bidding.</t>
  </si>
  <si>
    <t xml:space="preserve">Replayed: no explicit map -&gt; PRIMARY (unchanged); explicitly mapped -&gt; Austin/Dallas survive; mapped but blank -&gt; PRIMARY; suppressed still wins; Pay unaffected.</t>
  </si>
  <si>
    <t xml:space="preserve">Generate an eBOS Supplier Address and confirm Address Name holds the city, not PRIMARY.</t>
  </si>
  <si>
    <t xml:space="preserve">Status Summary</t>
  </si>
  <si>
    <t xml:space="preserve">Count</t>
  </si>
  <si>
    <t xml:space="preserve">Meaning</t>
  </si>
  <si>
    <t xml:space="preserve">Root cause found and corrected; verified statically.</t>
  </si>
  <si>
    <t xml:space="preserve">Main defect corrected; one sub-item deferred pending a product decision.</t>
  </si>
  <si>
    <t xml:space="preserve">Materially better, but inherently a matter of degree - not a binary fix.</t>
  </si>
  <si>
    <t xml:space="preserve">Total</t>
  </si>
  <si>
    <t xml:space="preserve">Deliberately not done - needs a product decision</t>
  </si>
  <si>
    <t xml:space="preserve">Issue 1 also notes 'generates two conversions when two sheets are uploaded'. That remains true, and is arguably correct - Oracle Customer Import genuinely separates account from address. Making ONE conversion span both sheets needs a column-wise join on a shared key; PUT /conversions/{id}/sources exists for multi-source binding but has no UI caller, and output_service row-concats rather than joins. Guessing a join key would silently corrupt data, so it was left for you to decide.
Also still open: SetupWizard and ConversionDetailPage upload without a sheet argument - the same one-line change as issue 1 if you want multi-sheet handling on those paths too.</t>
  </si>
  <si>
    <t xml:space="preserve">Verification caveat</t>
  </si>
  <si>
    <t xml:space="preserve">All fixes were verified by replaying the actual code paths and by unit tests (16/16 pass), not by driving the deployed UI - the sandbox cannot run the full test suite (pyOpenSSL/cryptography clash in pymongo) or sign in to the app. Treat the 'Live Check After Deploy' column as the outstanding confirmation step for each issue.</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</si>
</sst>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1F4E79"/>
      <name val="Arial"/>
      <family val="0"/>
      <charset val="1"/>
    </font>
    <font>
      <i val="true"/>
      <sz val="10"/>
      <color rgb="FF606B7A"/>
      <name val="Arial"/>
      <family val="0"/>
      <charset val="1"/>
    </font>
    <font>
      <b val="true"/>
      <sz val="10"/>
      <color rgb="FFFFFFFF"/>
      <name val="Arial"/>
      <family val="0"/>
      <charset val="1"/>
    </font>
    <font>
      <sz val="10"/>
      <name val="Arial"/>
      <family val="0"/>
      <charset val="1"/>
    </font>
    <font>
      <b val="true"/>
      <sz val="10"/>
      <color rgb="FF8A6100"/>
      <name val="Arial"/>
      <family val="0"/>
      <charset val="1"/>
    </font>
    <font>
      <b val="true"/>
      <sz val="10"/>
      <color rgb="FF1E6B3A"/>
      <name val="Arial"/>
      <family val="0"/>
      <charset val="1"/>
    </font>
    <font>
      <b val="true"/>
      <sz val="10"/>
      <color rgb="FF1F4E79"/>
      <name val="Arial"/>
      <family val="0"/>
      <charset val="1"/>
    </font>
    <font>
      <b val="true"/>
      <sz val="10"/>
      <name val="Arial"/>
      <family val="0"/>
      <charset val="1"/>
    </font>
    <font>
      <b val="true"/>
      <sz val="11"/>
      <color rgb="FF8A6100"/>
      <name val="Arial"/>
      <family val="0"/>
      <charset val="1"/>
    </font>
    <font>
      <b val="true"/>
      <sz val="11"/>
      <color rgb="FF1F4E79"/>
      <name val="Arial"/>
      <family val="0"/>
      <charset val="1"/>
    </font>
  </fonts>
  <fills count="6">
    <fill>
      <patternFill patternType="none"/>
    </fill>
    <fill>
      <patternFill patternType="gray125"/>
    </fill>
    <fill>
      <patternFill patternType="solid">
        <fgColor rgb="FF2E75B6"/>
        <bgColor rgb="FF0066CC"/>
      </patternFill>
    </fill>
    <fill>
      <patternFill patternType="solid">
        <fgColor rgb="FFFDF3DC"/>
        <bgColor rgb="FFE4F3E9"/>
      </patternFill>
    </fill>
    <fill>
      <patternFill patternType="solid">
        <fgColor rgb="FFE4F3E9"/>
        <bgColor rgb="FFE6F0F9"/>
      </patternFill>
    </fill>
    <fill>
      <patternFill patternType="solid">
        <fgColor rgb="FFE6F0F9"/>
        <bgColor rgb="FFE4F3E9"/>
      </patternFill>
    </fill>
  </fills>
  <borders count="2">
    <border diagonalUp="false" diagonalDown="false">
      <left/>
      <right/>
      <top/>
      <bottom/>
      <diagonal/>
    </border>
    <border diagonalUp="false" diagonalDown="false">
      <left style="thin">
        <color rgb="FFC7D2E0"/>
      </left>
      <right style="thin">
        <color rgb="FFC7D2E0"/>
      </right>
      <top style="thin">
        <color rgb="FFC7D2E0"/>
      </top>
      <bottom style="thin">
        <color rgb="FFC7D2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E75B6"/>
          <bgColor rgb="FF000000"/>
        </patternFill>
      </fill>
    </dxf>
    <dxf>
      <fill>
        <patternFill patternType="solid">
          <bgColor rgb="FF000000"/>
        </patternFill>
      </fill>
    </dxf>
    <dxf>
      <fill>
        <patternFill patternType="solid">
          <fgColor rgb="FFFFFFFF"/>
          <bgColor rgb="FF000000"/>
        </patternFill>
      </fill>
    </dxf>
    <dxf>
      <fill>
        <patternFill patternType="solid">
          <fgColor rgb="FFE4F3E9"/>
          <bgColor rgb="FF000000"/>
        </patternFill>
      </fill>
    </dxf>
    <dxf>
      <fill>
        <patternFill patternType="solid">
          <fgColor rgb="FFE6F0F9"/>
          <bgColor rgb="FF000000"/>
        </patternFill>
      </fill>
    </dxf>
    <dxf>
      <fill>
        <patternFill patternType="solid">
          <fgColor rgb="FFFDF3DC"/>
          <bgColor rgb="FF000000"/>
        </patternFill>
      </fill>
    </dxf>
    <dxf>
      <fill>
        <patternFill patternType="solid">
          <fgColor rgb="FF1E6B3A"/>
          <bgColor rgb="FF000000"/>
        </patternFill>
      </fill>
    </dxf>
    <dxf>
      <fill>
        <patternFill patternType="solid">
          <fgColor rgb="FF1F4E79"/>
          <bgColor rgb="FF000000"/>
        </patternFill>
      </fill>
    </dxf>
    <dxf>
      <fill>
        <patternFill patternType="solid">
          <fgColor rgb="FF8A6100"/>
          <bgColor rgb="FF000000"/>
        </patternFill>
      </fill>
    </dxf>
  </dxfs>
  <colors>
    <indexedColors>
      <rgbColor rgb="FF000000"/>
      <rgbColor rgb="FFFFFFFF"/>
      <rgbColor rgb="FFFF0000"/>
      <rgbColor rgb="FF00FF00"/>
      <rgbColor rgb="FF0000FF"/>
      <rgbColor rgb="FFFFFF00"/>
      <rgbColor rgb="FFFF00FF"/>
      <rgbColor rgb="FF00FFFF"/>
      <rgbColor rgb="FF800000"/>
      <rgbColor rgb="FF1E6B3A"/>
      <rgbColor rgb="FF000080"/>
      <rgbColor rgb="FF8A6100"/>
      <rgbColor rgb="FF800080"/>
      <rgbColor rgb="FF008080"/>
      <rgbColor rgb="FFC0C0C0"/>
      <rgbColor rgb="FF808080"/>
      <rgbColor rgb="FF9999FF"/>
      <rgbColor rgb="FF993366"/>
      <rgbColor rgb="FFFDF3DC"/>
      <rgbColor rgb="FFE4F3E9"/>
      <rgbColor rgb="FF660066"/>
      <rgbColor rgb="FFFF8080"/>
      <rgbColor rgb="FF0066CC"/>
      <rgbColor rgb="FFC7D2E0"/>
      <rgbColor rgb="FF000080"/>
      <rgbColor rgb="FFFF00FF"/>
      <rgbColor rgb="FFFFFF00"/>
      <rgbColor rgb="FF00FFFF"/>
      <rgbColor rgb="FF800080"/>
      <rgbColor rgb="FF800000"/>
      <rgbColor rgb="FF008080"/>
      <rgbColor rgb="FF0000FF"/>
      <rgbColor rgb="FF00CCFF"/>
      <rgbColor rgb="FFE6F0F9"/>
      <rgbColor rgb="FFCCFFCC"/>
      <rgbColor rgb="FFFFFF99"/>
      <rgbColor rgb="FF99CCFF"/>
      <rgbColor rgb="FFFF99CC"/>
      <rgbColor rgb="FFCC99FF"/>
      <rgbColor rgb="FFFFCC99"/>
      <rgbColor rgb="FF2E75B6"/>
      <rgbColor rgb="FF33CCCC"/>
      <rgbColor rgb="FF99CC00"/>
      <rgbColor rgb="FFFFCC00"/>
      <rgbColor rgb="FFFF9900"/>
      <rgbColor rgb="FFFF6600"/>
      <rgbColor rgb="FF606B7A"/>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20"/>
    <col collapsed="false" customWidth="true" hidden="false" outlineLevel="0" max="4" min="4" style="0" width="52"/>
    <col collapsed="false" customWidth="true" hidden="false" outlineLevel="0" max="5" min="5" style="0" width="24"/>
    <col collapsed="false" customWidth="true" hidden="false" outlineLevel="0" max="6" min="6" style="0" width="12"/>
    <col collapsed="false" customWidth="true" hidden="false" outlineLevel="0" max="7" min="7" style="0" width="15"/>
    <col collapsed="false" customWidth="true" hidden="false" outlineLevel="0" max="8" min="8" style="0" width="60"/>
    <col collapsed="false" customWidth="true" hidden="false" outlineLevel="0" max="9" min="9" style="0" width="64"/>
    <col collapsed="false" customWidth="true" hidden="false" outlineLevel="0" max="10" min="10" style="0" width="34"/>
    <col collapsed="false" customWidth="true" hidden="false" outlineLevel="0" max="11" min="11" style="0" width="44"/>
    <col collapsed="false" customWidth="true" hidden="false" outlineLevel="0" max="12" min="12" style="0" width="46"/>
  </cols>
  <sheetData>
    <row r="1" customFormat="false" ht="18.55" hidden="false" customHeight="false" outlineLevel="0" collapsed="false">
      <c r="A1" s="1" t="s">
        <v>0</v>
      </c>
      <c r="B1" s="1"/>
      <c r="C1" s="1"/>
      <c r="D1" s="1"/>
      <c r="E1" s="1"/>
      <c r="F1" s="1"/>
      <c r="G1" s="1"/>
      <c r="H1" s="1"/>
      <c r="I1" s="1"/>
      <c r="J1" s="1"/>
      <c r="K1" s="1"/>
      <c r="L1" s="1"/>
    </row>
    <row r="2" customFormat="false" ht="27.75" hidden="false" customHeight="true" outlineLevel="0" collapsed="false">
      <c r="A2" s="2" t="s">
        <v>1</v>
      </c>
      <c r="B2" s="2"/>
      <c r="C2" s="2"/>
      <c r="D2" s="2"/>
      <c r="E2" s="2"/>
      <c r="F2" s="2"/>
      <c r="G2" s="2"/>
      <c r="H2" s="2"/>
      <c r="I2" s="2"/>
      <c r="J2" s="2"/>
      <c r="K2" s="2"/>
      <c r="L2" s="2"/>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132" hidden="false" customHeight="true" outlineLevel="0" collapsed="false">
      <c r="A5" s="4" t="n">
        <v>1</v>
      </c>
      <c r="B5" s="4" t="s">
        <v>14</v>
      </c>
      <c r="C5" s="5" t="s">
        <v>15</v>
      </c>
      <c r="D5" s="5" t="s">
        <v>16</v>
      </c>
      <c r="E5" s="5"/>
      <c r="F5" s="4" t="s">
        <v>17</v>
      </c>
      <c r="G5" s="6" t="s">
        <v>18</v>
      </c>
      <c r="H5" s="5" t="s">
        <v>19</v>
      </c>
      <c r="I5" s="5" t="s">
        <v>20</v>
      </c>
      <c r="J5" s="5" t="s">
        <v>21</v>
      </c>
      <c r="K5" s="5" t="s">
        <v>22</v>
      </c>
      <c r="L5" s="5" t="s">
        <v>23</v>
      </c>
    </row>
    <row r="6" customFormat="false" ht="132" hidden="false" customHeight="true" outlineLevel="0" collapsed="false">
      <c r="A6" s="4" t="n">
        <v>2</v>
      </c>
      <c r="B6" s="4" t="s">
        <v>14</v>
      </c>
      <c r="C6" s="5" t="s">
        <v>15</v>
      </c>
      <c r="D6" s="5" t="s">
        <v>24</v>
      </c>
      <c r="E6" s="5" t="s">
        <v>25</v>
      </c>
      <c r="F6" s="4" t="s">
        <v>17</v>
      </c>
      <c r="G6" s="7" t="s">
        <v>26</v>
      </c>
      <c r="H6" s="5" t="s">
        <v>27</v>
      </c>
      <c r="I6" s="5" t="s">
        <v>28</v>
      </c>
      <c r="J6" s="5" t="s">
        <v>29</v>
      </c>
      <c r="K6" s="5" t="s">
        <v>30</v>
      </c>
      <c r="L6" s="5" t="s">
        <v>31</v>
      </c>
    </row>
    <row r="7" customFormat="false" ht="132" hidden="false" customHeight="true" outlineLevel="0" collapsed="false">
      <c r="A7" s="4" t="n">
        <v>3</v>
      </c>
      <c r="B7" s="4" t="s">
        <v>14</v>
      </c>
      <c r="C7" s="5" t="s">
        <v>32</v>
      </c>
      <c r="D7" s="5" t="s">
        <v>33</v>
      </c>
      <c r="E7" s="5"/>
      <c r="F7" s="4" t="s">
        <v>17</v>
      </c>
      <c r="G7" s="7" t="s">
        <v>26</v>
      </c>
      <c r="H7" s="5" t="s">
        <v>34</v>
      </c>
      <c r="I7" s="5" t="s">
        <v>35</v>
      </c>
      <c r="J7" s="5" t="s">
        <v>36</v>
      </c>
      <c r="K7" s="5" t="s">
        <v>37</v>
      </c>
      <c r="L7" s="5" t="s">
        <v>38</v>
      </c>
    </row>
    <row r="8" customFormat="false" ht="132" hidden="false" customHeight="true" outlineLevel="0" collapsed="false">
      <c r="A8" s="4" t="n">
        <v>4</v>
      </c>
      <c r="B8" s="4" t="s">
        <v>14</v>
      </c>
      <c r="C8" s="5" t="s">
        <v>32</v>
      </c>
      <c r="D8" s="5" t="s">
        <v>39</v>
      </c>
      <c r="E8" s="5"/>
      <c r="F8" s="4" t="s">
        <v>17</v>
      </c>
      <c r="G8" s="8" t="s">
        <v>40</v>
      </c>
      <c r="H8" s="5" t="s">
        <v>41</v>
      </c>
      <c r="I8" s="5" t="s">
        <v>42</v>
      </c>
      <c r="J8" s="5" t="s">
        <v>43</v>
      </c>
      <c r="K8" s="5" t="s">
        <v>44</v>
      </c>
      <c r="L8" s="5" t="s">
        <v>45</v>
      </c>
    </row>
    <row r="9" customFormat="false" ht="132" hidden="false" customHeight="true" outlineLevel="0" collapsed="false">
      <c r="A9" s="4" t="n">
        <v>5</v>
      </c>
      <c r="B9" s="4" t="s">
        <v>14</v>
      </c>
      <c r="C9" s="5" t="s">
        <v>46</v>
      </c>
      <c r="D9" s="5" t="s">
        <v>47</v>
      </c>
      <c r="E9" s="5"/>
      <c r="F9" s="4" t="s">
        <v>48</v>
      </c>
      <c r="G9" s="7" t="s">
        <v>26</v>
      </c>
      <c r="H9" s="5" t="s">
        <v>49</v>
      </c>
      <c r="I9" s="5" t="s">
        <v>50</v>
      </c>
      <c r="J9" s="5" t="s">
        <v>51</v>
      </c>
      <c r="K9" s="5" t="s">
        <v>52</v>
      </c>
      <c r="L9" s="5" t="s">
        <v>53</v>
      </c>
    </row>
    <row r="10" customFormat="false" ht="132" hidden="false" customHeight="true" outlineLevel="0" collapsed="false">
      <c r="A10" s="4" t="n">
        <v>6</v>
      </c>
      <c r="B10" s="4" t="s">
        <v>14</v>
      </c>
      <c r="C10" s="5" t="s">
        <v>54</v>
      </c>
      <c r="D10" s="5" t="s">
        <v>55</v>
      </c>
      <c r="E10" s="5"/>
      <c r="F10" s="4" t="s">
        <v>17</v>
      </c>
      <c r="G10" s="7" t="s">
        <v>26</v>
      </c>
      <c r="H10" s="5" t="s">
        <v>56</v>
      </c>
      <c r="I10" s="5" t="s">
        <v>57</v>
      </c>
      <c r="J10" s="5" t="s">
        <v>58</v>
      </c>
      <c r="K10" s="5" t="s">
        <v>59</v>
      </c>
      <c r="L10" s="5" t="s">
        <v>60</v>
      </c>
    </row>
    <row r="11" customFormat="false" ht="132" hidden="false" customHeight="true" outlineLevel="0" collapsed="false">
      <c r="A11" s="4" t="n">
        <v>7</v>
      </c>
      <c r="B11" s="4" t="s">
        <v>14</v>
      </c>
      <c r="C11" s="5" t="s">
        <v>61</v>
      </c>
      <c r="D11" s="5" t="s">
        <v>62</v>
      </c>
      <c r="E11" s="5"/>
      <c r="F11" s="4" t="s">
        <v>63</v>
      </c>
      <c r="G11" s="7" t="s">
        <v>26</v>
      </c>
      <c r="H11" s="5" t="s">
        <v>64</v>
      </c>
      <c r="I11" s="5" t="s">
        <v>65</v>
      </c>
      <c r="J11" s="5" t="s">
        <v>66</v>
      </c>
      <c r="K11" s="5" t="s">
        <v>67</v>
      </c>
      <c r="L11" s="5" t="s">
        <v>68</v>
      </c>
    </row>
    <row r="12" customFormat="false" ht="132" hidden="false" customHeight="true" outlineLevel="0" collapsed="false">
      <c r="A12" s="4" t="n">
        <v>8</v>
      </c>
      <c r="B12" s="4" t="s">
        <v>14</v>
      </c>
      <c r="C12" s="5" t="s">
        <v>61</v>
      </c>
      <c r="D12" s="5" t="s">
        <v>69</v>
      </c>
      <c r="E12" s="5" t="s">
        <v>70</v>
      </c>
      <c r="F12" s="4" t="s">
        <v>63</v>
      </c>
      <c r="G12" s="7" t="s">
        <v>26</v>
      </c>
      <c r="H12" s="5" t="s">
        <v>71</v>
      </c>
      <c r="I12" s="5" t="s">
        <v>72</v>
      </c>
      <c r="J12" s="5" t="s">
        <v>29</v>
      </c>
      <c r="K12" s="5" t="s">
        <v>73</v>
      </c>
      <c r="L12" s="5" t="s">
        <v>74</v>
      </c>
    </row>
  </sheetData>
  <autoFilter ref="A4:L12"/>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74"/>
  </cols>
  <sheetData>
    <row r="1" customFormat="false" ht="18.55" hidden="false" customHeight="false" outlineLevel="0" collapsed="false">
      <c r="A1" s="1" t="s">
        <v>75</v>
      </c>
      <c r="B1" s="1"/>
      <c r="C1" s="1"/>
    </row>
    <row r="3" customFormat="false" ht="15" hidden="false" customHeight="false" outlineLevel="0" collapsed="false">
      <c r="A3" s="9" t="s">
        <v>8</v>
      </c>
      <c r="B3" s="9" t="s">
        <v>76</v>
      </c>
      <c r="C3" s="9" t="s">
        <v>77</v>
      </c>
    </row>
    <row r="4" customFormat="false" ht="15" hidden="false" customHeight="false" outlineLevel="0" collapsed="false">
      <c r="A4" s="10" t="s">
        <v>26</v>
      </c>
      <c r="B4" s="5" t="n">
        <f aca="false">COUNTIF('Issue Status'!$G$5:$G$12,A4)</f>
        <v>6</v>
      </c>
      <c r="C4" s="5" t="s">
        <v>78</v>
      </c>
    </row>
    <row r="5" customFormat="false" ht="15" hidden="false" customHeight="false" outlineLevel="0" collapsed="false">
      <c r="A5" s="11" t="s">
        <v>18</v>
      </c>
      <c r="B5" s="5" t="n">
        <f aca="false">COUNTIF('Issue Status'!$G$5:$G$12,A5)</f>
        <v>1</v>
      </c>
      <c r="C5" s="5" t="s">
        <v>79</v>
      </c>
    </row>
    <row r="6" customFormat="false" ht="15" hidden="false" customHeight="false" outlineLevel="0" collapsed="false">
      <c r="A6" s="12" t="s">
        <v>40</v>
      </c>
      <c r="B6" s="5" t="n">
        <f aca="false">COUNTIF('Issue Status'!$G$5:$G$12,A6)</f>
        <v>1</v>
      </c>
      <c r="C6" s="5" t="s">
        <v>80</v>
      </c>
    </row>
    <row r="7" customFormat="false" ht="15" hidden="false" customHeight="false" outlineLevel="0" collapsed="false">
      <c r="A7" s="13" t="s">
        <v>81</v>
      </c>
      <c r="B7" s="13" t="n">
        <f aca="false">COUNTA('Issue Status'!$A$5:$A$12)</f>
        <v>8</v>
      </c>
      <c r="C7" s="14"/>
    </row>
    <row r="9" customFormat="false" ht="15" hidden="false" customHeight="false" outlineLevel="0" collapsed="false">
      <c r="A9" s="15" t="s">
        <v>82</v>
      </c>
      <c r="B9" s="15"/>
      <c r="C9" s="15"/>
    </row>
    <row r="10" customFormat="false" ht="117.75" hidden="false" customHeight="true" outlineLevel="0" collapsed="false">
      <c r="A10" s="16" t="s">
        <v>83</v>
      </c>
      <c r="B10" s="16"/>
      <c r="C10" s="16"/>
    </row>
    <row r="12" customFormat="false" ht="15" hidden="false" customHeight="false" outlineLevel="0" collapsed="false">
      <c r="A12" s="17" t="s">
        <v>84</v>
      </c>
      <c r="B12" s="17"/>
      <c r="C12" s="17"/>
    </row>
    <row r="13" customFormat="false" ht="73.5" hidden="false" customHeight="true" outlineLevel="0" collapsed="false">
      <c r="A13" s="16" t="s">
        <v>85</v>
      </c>
      <c r="B13" s="16"/>
      <c r="C13" s="16"/>
    </row>
  </sheetData>
  <mergeCells count="5">
    <mergeCell ref="A1:C1"/>
    <mergeCell ref="A9:C9"/>
    <mergeCell ref="A10:C10"/>
    <mergeCell ref="A12:C12"/>
    <mergeCell ref="A13:C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2026-07-27T17:11:54Z</dcterms:created>
  <dc:creator>openpyxl</dc:creator>
  <dc:description/>
  <dc:language>en-US</dc:language>
  <cp:lastModifiedBy/>
  <dcterms:modified xsi:type="dcterms:W3CDTF">2026-07-27T17:11:54Z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